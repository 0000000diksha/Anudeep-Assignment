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pire 5 15\Downloads\"/>
    </mc:Choice>
  </mc:AlternateContent>
  <xr:revisionPtr revIDLastSave="0" documentId="13_ncr:1_{5E01BD83-A7FB-4CAB-B8E2-9EDF54E47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3" i="1"/>
  <c r="E12" i="1"/>
  <c r="E11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<sst xmlns="http://schemas.openxmlformats.org/spreadsheetml/2006/main" count="36" uniqueCount="30">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</sst>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65" workbookViewId="0">
      <selection activeCell="Q26" sqref="Q26"/>
    </sheetView>
  </sheetViews>
  <sheetFormatPr defaultRowHeight="14.4"/>
  <cols>
    <col min="1" max="1" width="10" customWidth="1"/>
    <col min="2" max="2" width="13" customWidth="1"/>
    <col min="3" max="4" width="15" customWidth="1"/>
    <col min="5" max="5" width="15" style="1" customWidth="1"/>
    <col min="6" max="6" width="21.77734375" customWidth="1"/>
    <col min="7" max="8" width="1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12</v>
      </c>
      <c r="K2" t="s">
        <v>6</v>
      </c>
    </row>
    <row r="3" spans="1:11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>
      <c r="A10" s="7" t="s">
        <v>18</v>
      </c>
      <c r="B10" s="7"/>
      <c r="C10" s="7"/>
      <c r="D10" s="7"/>
      <c r="E10" s="4" t="s">
        <v>19</v>
      </c>
      <c r="F10" s="2" t="s">
        <v>20</v>
      </c>
    </row>
    <row r="11" spans="1:11">
      <c r="A11" s="6" t="s">
        <v>21</v>
      </c>
      <c r="B11" s="6"/>
      <c r="C11" s="6"/>
      <c r="D11" s="6"/>
      <c r="E11" s="5">
        <f>INDEX(D2:H7,MATCH("Charlie",B2:B7,0),MATCH("Mar Salary",D1:H1,0))</f>
        <v>5200</v>
      </c>
      <c r="F11" s="3">
        <v>5200</v>
      </c>
    </row>
    <row r="12" spans="1:11">
      <c r="A12" s="6" t="s">
        <v>22</v>
      </c>
      <c r="B12" s="6"/>
      <c r="C12" s="6"/>
      <c r="D12" s="6"/>
      <c r="E12" s="1" t="str">
        <f>INDEX(C2:C7,MATCH("Eva",B2:B7))</f>
        <v>Finance</v>
      </c>
      <c r="F12" s="3" t="s">
        <v>11</v>
      </c>
    </row>
    <row r="13" spans="1:11">
      <c r="A13" s="6" t="s">
        <v>23</v>
      </c>
      <c r="B13" s="6"/>
      <c r="C13" s="6"/>
      <c r="D13" s="6"/>
      <c r="E13" s="1">
        <f>MAX(INDEX(D2:H7,MATCH("Bob",B2:B7,0),0))</f>
        <v>4400</v>
      </c>
      <c r="F13" s="3">
        <v>4400</v>
      </c>
    </row>
    <row r="14" spans="1:11">
      <c r="A14" s="6" t="s">
        <v>24</v>
      </c>
      <c r="B14" s="6"/>
      <c r="C14" s="6"/>
      <c r="D14" s="6"/>
      <c r="E14" s="3" t="str">
        <f>INDEX(D1:H1,MATCH(MAX(INDEX(D2:H7,MATCH("Alice",B2:B7,0),0)),INDEX(D2:H7,MATCH("Alice",B2:B7,0),0),0))</f>
        <v>May Salary</v>
      </c>
      <c r="F14" s="3" t="s">
        <v>7</v>
      </c>
    </row>
    <row r="15" spans="1:11">
      <c r="A15" s="6" t="s">
        <v>25</v>
      </c>
      <c r="B15" s="6"/>
      <c r="C15" s="6"/>
      <c r="D15" s="6"/>
      <c r="E15" s="3">
        <f>SUMIF(C2:C7,"IT", INDEX(D2:H7,0,MATCH("Apr Salary",D1:H1,0)))</f>
        <v>11100</v>
      </c>
      <c r="F15" s="3">
        <v>11100</v>
      </c>
    </row>
    <row r="16" spans="1:11">
      <c r="A16" s="6" t="s">
        <v>26</v>
      </c>
      <c r="B16" s="6"/>
      <c r="C16" s="6"/>
      <c r="D16" s="6"/>
      <c r="E16" s="3">
        <f>AVERAGE(INDEX(D2:H7,MATCH("David",B2:B7,0),0))</f>
        <v>3700</v>
      </c>
      <c r="F16" s="3">
        <v>3700</v>
      </c>
    </row>
    <row r="17" spans="1:6">
      <c r="A17" s="6" t="s">
        <v>27</v>
      </c>
      <c r="B17" s="6"/>
      <c r="C17" s="6"/>
      <c r="D17" s="6"/>
      <c r="E17" s="3">
        <f>INDEX(D2:H7,MATCH(205,A2:A7,0),MATCH("May Salary",D1:H1,0))</f>
        <v>4900</v>
      </c>
      <c r="F17" s="3">
        <v>4900</v>
      </c>
    </row>
    <row r="18" spans="1:6">
      <c r="A18" s="6" t="s">
        <v>28</v>
      </c>
      <c r="B18" s="6"/>
      <c r="C18" s="6"/>
      <c r="D18" s="6"/>
      <c r="E18" s="3">
        <f>INDEX(D2:H7,MATCH(J2,B2:B7,0),MATCH(K2,D1:H1,0))</f>
        <v>5300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Diksha Ghadigaonkar</cp:lastModifiedBy>
  <dcterms:created xsi:type="dcterms:W3CDTF">2026-05-19T11:10:23Z</dcterms:created>
  <dcterms:modified xsi:type="dcterms:W3CDTF">2026-05-20T08:08:29Z</dcterms:modified>
</cp:coreProperties>
</file>