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13_ncr:1_{D8227E18-A8A0-45F7-AB69-1601E6B3D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7" i="1"/>
  <c r="G5" i="1"/>
  <c r="G6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<sst xmlns="http://schemas.openxmlformats.org/spreadsheetml/2006/main" count="34" uniqueCount="31">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</sst>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G1" zoomScale="98" workbookViewId="0">
      <selection activeCell="M4" sqref="M4"/>
    </sheetView>
  </sheetViews>
  <sheetFormatPr defaultRowHeight="14.4" x14ac:dyDescent="0.3"/>
  <cols>
    <col min="1" max="1" width="12.109375" customWidth="1"/>
    <col min="2" max="2" width="15.33203125" customWidth="1"/>
    <col min="3" max="3" width="12" customWidth="1"/>
    <col min="4" max="4" width="11.21875" customWidth="1"/>
    <col min="5" max="5" width="16" customWidth="1"/>
    <col min="6" max="6" width="18.21875" customWidth="1"/>
    <col min="7" max="7" width="16.21875" customWidth="1"/>
    <col min="8" max="8" width="17.33203125" customWidth="1"/>
    <col min="9" max="9" width="23.88671875" customWidth="1"/>
    <col min="10" max="10" width="58" customWidth="1"/>
    <col min="11" max="11" width="27.88671875" customWidth="1"/>
    <col min="12" max="12" width="15.77734375" customWidth="1"/>
    <col min="13" max="13" width="22.6640625" customWidth="1"/>
  </cols>
  <sheetData>
    <row r="1" spans="1:13" ht="18" x14ac:dyDescent="0.35">
      <c r="A1" s="1" t="s">
        <v>0</v>
      </c>
    </row>
    <row r="3" spans="1:13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IF(C4&gt;=D4,"Yes", "No")</f>
        <v>Yes</v>
      </c>
      <c r="G4" s="4" t="str">
        <f>IF(AND(E4="Electronics",C4&gt;300),"Incentive","not incentive")</f>
        <v>Incentive</v>
      </c>
      <c r="H4" s="4">
        <f>IF(C4&gt;=300,12%,IF(C4&gt;=200, 8%,5%))</f>
        <v>0.12</v>
      </c>
      <c r="I4" s="4">
        <f>IF(C4&gt;=D4,C4*10%,C4*5%)</f>
        <v>32</v>
      </c>
      <c r="J4" s="4" t="str">
        <f>IF(C4&gt;=300,"Excellent", IF(C4&gt;=200,"Good","Average"))</f>
        <v>Excellent</v>
      </c>
      <c r="K4" s="4" t="str">
        <f>IF(C4&gt;300,"High",IF(C4&gt;=150,"Medium","Low"))</f>
        <v>High</v>
      </c>
      <c r="L4" s="4">
        <f>IF(AND(C4&gt;=200, E4="Electronics"),700,400)</f>
        <v>700</v>
      </c>
      <c r="M4" s="4" t="str">
        <f>IF(C4&gt;=PERCENTILE($C$4:$C$9, 0.75),"Yes", "No")</f>
        <v>Yes</v>
      </c>
    </row>
    <row r="5" spans="1:13" x14ac:dyDescent="0.3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IF(C5&gt;=D5,"Yes", "No")</f>
        <v>No</v>
      </c>
      <c r="G5" s="4" t="str">
        <f t="shared" ref="G5:G9" si="1">IF(AND(E5="Electronics",C5&gt;300),"Incentive","not incentive")</f>
        <v>not incentive</v>
      </c>
      <c r="H5" s="4">
        <f t="shared" ref="H5:H9" si="2">IF(C5&gt;=300,12%,IF(C5&gt;=200, 8%,5%))</f>
        <v>0.05</v>
      </c>
      <c r="I5" s="4">
        <f t="shared" ref="I5:I9" si="3">IF(C5&gt;=D5,C5*10%,C5*5%)</f>
        <v>9</v>
      </c>
      <c r="J5" s="4" t="str">
        <f t="shared" ref="J5:J9" si="4">IF(C5&gt;=300,"Excellent", IF(C5&gt;=200,"Good","Average"))</f>
        <v>Average</v>
      </c>
      <c r="K5" s="4" t="str">
        <f t="shared" ref="K5:K9" si="5">IF(C5&gt;300,"High",IF(C5&gt;=150,"Medium","Low"))</f>
        <v>Medium</v>
      </c>
      <c r="L5" s="4">
        <f t="shared" ref="L5:L9" si="6">IF(AND(C5&gt;=200, E5="Electronics"),700,400)</f>
        <v>400</v>
      </c>
      <c r="M5" s="4" t="str">
        <f t="shared" ref="M5:M9" si="7">IF(C5&gt;=PERCENTILE($C$4:$C$9, 0.75),"Yes", "No")</f>
        <v>No</v>
      </c>
    </row>
    <row r="6" spans="1:13" x14ac:dyDescent="0.3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Yes</v>
      </c>
      <c r="G6" s="4" t="str">
        <f t="shared" si="1"/>
        <v>not incentive</v>
      </c>
      <c r="H6" s="4">
        <f t="shared" si="2"/>
        <v>0.08</v>
      </c>
      <c r="I6" s="4">
        <f t="shared" si="3"/>
        <v>26</v>
      </c>
      <c r="J6" s="4" t="str">
        <f t="shared" si="4"/>
        <v>Good</v>
      </c>
      <c r="K6" s="4" t="str">
        <f t="shared" si="5"/>
        <v>Medium</v>
      </c>
      <c r="L6" s="4">
        <f t="shared" si="6"/>
        <v>400</v>
      </c>
      <c r="M6" s="4" t="str">
        <f t="shared" si="7"/>
        <v>No</v>
      </c>
    </row>
    <row r="7" spans="1:13" x14ac:dyDescent="0.3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</v>
      </c>
      <c r="G7" s="4" t="str">
        <f>IF(AND(E7="Electronics",C7&gt;300),"Incentive","not incentive")</f>
        <v>not incentive</v>
      </c>
      <c r="H7" s="4">
        <f t="shared" si="2"/>
        <v>0.05</v>
      </c>
      <c r="I7" s="4">
        <f t="shared" si="3"/>
        <v>4.5</v>
      </c>
      <c r="J7" s="4" t="str">
        <f t="shared" si="4"/>
        <v>Average</v>
      </c>
      <c r="K7" s="4" t="str">
        <f t="shared" si="5"/>
        <v>Low</v>
      </c>
      <c r="L7" s="4">
        <f t="shared" si="6"/>
        <v>400</v>
      </c>
      <c r="M7" s="4" t="str">
        <f t="shared" si="7"/>
        <v>No</v>
      </c>
    </row>
    <row r="8" spans="1:13" x14ac:dyDescent="0.3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Yes</v>
      </c>
      <c r="G8" s="4" t="str">
        <f t="shared" si="1"/>
        <v>not incentive</v>
      </c>
      <c r="H8" s="4">
        <f t="shared" si="2"/>
        <v>0.12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>
        <f t="shared" si="6"/>
        <v>400</v>
      </c>
      <c r="M8" s="4" t="str">
        <f t="shared" si="7"/>
        <v>Yes</v>
      </c>
    </row>
    <row r="9" spans="1:13" x14ac:dyDescent="0.3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Yes</v>
      </c>
      <c r="G9" s="4" t="str">
        <f t="shared" si="1"/>
        <v>not incentive</v>
      </c>
      <c r="H9" s="4">
        <f t="shared" si="2"/>
        <v>0.05</v>
      </c>
      <c r="I9" s="4">
        <f t="shared" si="3"/>
        <v>15</v>
      </c>
      <c r="J9" s="4" t="str">
        <f t="shared" si="4"/>
        <v>Average</v>
      </c>
      <c r="K9" s="4" t="str">
        <f t="shared" si="5"/>
        <v>Medium</v>
      </c>
      <c r="L9" s="4">
        <f t="shared" si="6"/>
        <v>400</v>
      </c>
      <c r="M9" s="4" t="str">
        <f t="shared" si="7"/>
        <v>No</v>
      </c>
    </row>
    <row r="12" spans="1:13" x14ac:dyDescent="0.3">
      <c r="A12" s="2" t="s">
        <v>23</v>
      </c>
      <c r="B12" s="2"/>
      <c r="C12" s="2"/>
      <c r="D12" s="2"/>
      <c r="E12" s="2"/>
      <c r="F12" s="2"/>
      <c r="G12" s="2"/>
    </row>
    <row r="13" spans="1:13" ht="63.45" customHeight="1" x14ac:dyDescent="0.3">
      <c r="A13" s="5" t="s">
        <v>30</v>
      </c>
      <c r="B13" s="5"/>
      <c r="C13" s="5"/>
      <c r="D13" s="5"/>
      <c r="E13" s="5"/>
      <c r="F13" s="5"/>
      <c r="G13" s="5"/>
    </row>
    <row r="14" spans="1:13" ht="87" customHeight="1" x14ac:dyDescent="0.3">
      <c r="A14" s="5" t="s">
        <v>24</v>
      </c>
      <c r="B14" s="5"/>
      <c r="C14" s="5"/>
      <c r="D14" s="5"/>
      <c r="E14" s="5"/>
      <c r="F14" s="5"/>
      <c r="G14" s="5"/>
    </row>
    <row r="15" spans="1:13" ht="65.55" customHeight="1" x14ac:dyDescent="0.3">
      <c r="A15" s="5" t="s">
        <v>25</v>
      </c>
      <c r="B15" s="5"/>
      <c r="C15" s="5"/>
      <c r="D15" s="5"/>
      <c r="E15" s="5"/>
      <c r="F15" s="5"/>
      <c r="G15" s="5"/>
    </row>
    <row r="16" spans="1:13" ht="103.95" customHeight="1" x14ac:dyDescent="0.3">
      <c r="A16" s="5" t="s">
        <v>26</v>
      </c>
      <c r="B16" s="5"/>
      <c r="C16" s="5"/>
      <c r="D16" s="5"/>
      <c r="E16" s="5"/>
      <c r="F16" s="5"/>
      <c r="G16" s="5"/>
    </row>
    <row r="17" spans="1:7" ht="90.45" customHeight="1" x14ac:dyDescent="0.3">
      <c r="A17" s="5" t="s">
        <v>27</v>
      </c>
      <c r="B17" s="5"/>
      <c r="C17" s="5"/>
      <c r="D17" s="5"/>
      <c r="E17" s="5"/>
      <c r="F17" s="5"/>
      <c r="G17" s="5"/>
    </row>
    <row r="18" spans="1:7" ht="64.05" customHeight="1" x14ac:dyDescent="0.3">
      <c r="A18" s="5" t="s">
        <v>28</v>
      </c>
      <c r="B18" s="5"/>
      <c r="C18" s="5"/>
      <c r="D18" s="5"/>
      <c r="E18" s="5"/>
      <c r="F18" s="5"/>
      <c r="G18" s="5"/>
    </row>
    <row r="19" spans="1:7" ht="87" customHeight="1" x14ac:dyDescent="0.3">
      <c r="A19" s="5" t="s">
        <v>29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2026-05-21T04:22:38Z</dcterms:created>
  <dcterms:modified xsi:type="dcterms:W3CDTF">2026-05-21T08:13:59Z</dcterms:modified>
</cp:coreProperties>
</file>