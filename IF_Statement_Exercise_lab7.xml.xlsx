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spire 5 15\Downloads\"/>
    </mc:Choice>
  </mc:AlternateContent>
  <xr:revisionPtr revIDLastSave="0" documentId="8_{7A516075-2273-48C4-9AD2-ED47093C8A6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H2" i="1"/>
  <c r="I3" i="1"/>
  <c r="I4" i="1"/>
  <c r="I5" i="1"/>
  <c r="I6" i="1"/>
  <c r="I7" i="1"/>
  <c r="I2" i="1"/>
  <c r="H3" i="1"/>
  <c r="H4" i="1"/>
  <c r="H5" i="1"/>
  <c r="H6" i="1"/>
  <c r="H7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<sst xmlns="http://schemas.openxmlformats.org/spreadsheetml/2006/main" count="33" uniqueCount="31">
  <si>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</si>
  <si>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</si>
  <si>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</si>
  <si>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</si>
  <si>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</si>
  <si>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</si>
  <si>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</si>
  <si>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</si>
  <si>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</si>
  <si>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</si>
  <si>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</si>
  <si>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</si>
  <si>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</si>
  <si>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</si>
  <si>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</si>
  <si>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</si>
  <si>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</si>
  <si>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</si>
  <si>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</si>
  <si>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</si>
  <si>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</si>
  <si>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</si>
  <si>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</si>
  <si>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</si>
  <si>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</si>
  <si>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</si>
  <si>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1. Use the IF function to evaluate whether each product met its sales target.   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</si>
  <si>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</si>
  <si>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</si>
  <si>
    <t xml:space="preserve">6.. Use the IF function to assign a price tier based on the sales value. "High" for sales &gt; 200, "Medium" for sales between 100 and 200, and "Low" for sales &lt; 100. </t>
  </si>
  <si>
    <t xml:space="preserve">5. Use the IF function to categorize sales performance as "Excellent" (&gt;=200), "Good" (&gt;=150), or "Needs Improvement" (&lt;150).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</si>
</sst>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zoomScale="58" workbookViewId="0">
      <selection activeCell="I37" sqref="I37"/>
    </sheetView>
  </sheetViews>
  <sheetFormatPr defaultRowHeight="14.4"/>
  <cols>
    <col min="1" max="1" width="12" customWidth="1"/>
    <col min="2" max="2" width="15" customWidth="1"/>
    <col min="3" max="4" width="10" customWidth="1"/>
    <col min="5" max="5" width="12" customWidth="1"/>
    <col min="6" max="6" width="15" customWidth="1"/>
    <col min="7" max="7" width="25" customWidth="1"/>
    <col min="8" max="8" width="18" customWidth="1"/>
    <col min="9" max="9" width="15" customWidth="1"/>
    <col min="10" max="10" width="16.77734375" customWidth="1"/>
    <col min="11" max="11" width="9.88671875" customWidth="1"/>
    <col min="12" max="12" width="15.77734375" customWidth="1"/>
    <col min="13" max="13" width="13.33203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101</v>
      </c>
      <c r="B2" t="s">
        <v>13</v>
      </c>
      <c r="C2">
        <v>120</v>
      </c>
      <c r="D2">
        <v>150</v>
      </c>
      <c r="E2" t="s">
        <v>14</v>
      </c>
      <c r="F2" t="str">
        <f>IF(C2&gt;=D2,"Yes","No")</f>
        <v>No</v>
      </c>
      <c r="G2" t="str">
        <f>IF(AND(E2="North",C2&gt;200),"Eligible","Not Eligible")</f>
        <v>Not Eligible</v>
      </c>
      <c r="H2">
        <f>IF(C2&gt;=200, 0.1,IF(C2&gt;=150, 0.07,0.05))</f>
        <v>0.05</v>
      </c>
      <c r="I2">
        <f>IF(C2&gt;=D2, C2*10%, C2* 5%)</f>
        <v>6</v>
      </c>
      <c r="J2" t="str">
        <f>IF(C2&gt;=200,"Excellent",IF(C2&gt;=150,"Good", "Need Improvement"))</f>
        <v>Need Improvement</v>
      </c>
      <c r="K2" t="str">
        <f>IF(C2&gt;200,"High", IF(C2&gt;=100,"Medium", "Low"))</f>
        <v>Medium</v>
      </c>
      <c r="L2" t="str">
        <f>IF(AND(C2&gt;=150,E2="North"),"$ 500","$ 300")</f>
        <v>$ 300</v>
      </c>
      <c r="M2" t="str">
        <f>IF(C2&gt;=PERCENTILE($C$2:$C$7,0.75),"Yes","No")</f>
        <v>No</v>
      </c>
    </row>
    <row r="3" spans="1:13">
      <c r="A3">
        <v>102</v>
      </c>
      <c r="B3" t="s">
        <v>15</v>
      </c>
      <c r="C3">
        <v>150</v>
      </c>
      <c r="D3">
        <v>140</v>
      </c>
      <c r="E3" t="s">
        <v>16</v>
      </c>
      <c r="F3" t="str">
        <f>IF(C3&gt;=D3,"Yes","No")</f>
        <v>Yes</v>
      </c>
      <c r="G3" t="str">
        <f t="shared" ref="G3:G7" si="0">IF(AND(E3="North",C3&gt;200),"Eligible","Not Eligible")</f>
        <v>Not Eligible</v>
      </c>
      <c r="H3">
        <f t="shared" ref="H3:H7" si="1">IF(C3&gt;=200, 0.1,IF(C3&gt;=150, 0.07,0.05))</f>
        <v>7.0000000000000007E-2</v>
      </c>
      <c r="I3">
        <f t="shared" ref="I3:I7" si="2">IF(C3&gt;=D3, C3*10%, C3* 5%)</f>
        <v>15</v>
      </c>
      <c r="J3" t="str">
        <f t="shared" ref="J3:J7" si="3">IF(C3&gt;=200,"Excellent",IF(C3&gt;=150,"Good", "Need Improvement"))</f>
        <v>Good</v>
      </c>
      <c r="K3" t="str">
        <f t="shared" ref="K3:K7" si="4">IF(C3&gt;200,"High", IF(C3&gt;=100,"Medium", "Low"))</f>
        <v>Medium</v>
      </c>
      <c r="L3" t="str">
        <f t="shared" ref="L3:L7" si="5">IF(AND(C3&gt;=150,E3="North"),"$ 500","$ 300")</f>
        <v>$ 300</v>
      </c>
      <c r="M3" t="str">
        <f t="shared" ref="M3:M7" si="6">IF(C3&gt;=PERCENTILE($C$2:$C$7,0.75),"Yes","No")</f>
        <v>No</v>
      </c>
    </row>
    <row r="4" spans="1:13">
      <c r="A4">
        <v>103</v>
      </c>
      <c r="B4" t="s">
        <v>17</v>
      </c>
      <c r="C4">
        <v>200</v>
      </c>
      <c r="D4">
        <v>200</v>
      </c>
      <c r="E4" t="s">
        <v>18</v>
      </c>
      <c r="F4" t="str">
        <f t="shared" ref="F3:F7" si="7">IF(C4&gt;=D4,"Yes","No")</f>
        <v>Yes</v>
      </c>
      <c r="G4" t="str">
        <f t="shared" si="0"/>
        <v>Not Eligible</v>
      </c>
      <c r="H4">
        <f t="shared" si="1"/>
        <v>0.1</v>
      </c>
      <c r="I4">
        <f t="shared" si="2"/>
        <v>20</v>
      </c>
      <c r="J4" t="str">
        <f t="shared" si="3"/>
        <v>Excellent</v>
      </c>
      <c r="K4" t="str">
        <f t="shared" si="4"/>
        <v>Medium</v>
      </c>
      <c r="L4" t="str">
        <f t="shared" si="5"/>
        <v>$ 300</v>
      </c>
      <c r="M4" t="str">
        <f t="shared" si="6"/>
        <v>Yes</v>
      </c>
    </row>
    <row r="5" spans="1:13">
      <c r="A5">
        <v>104</v>
      </c>
      <c r="B5" t="s">
        <v>19</v>
      </c>
      <c r="C5">
        <v>90</v>
      </c>
      <c r="D5">
        <v>100</v>
      </c>
      <c r="E5" t="s">
        <v>20</v>
      </c>
      <c r="F5" t="str">
        <f t="shared" si="7"/>
        <v>No</v>
      </c>
      <c r="G5" t="str">
        <f t="shared" si="0"/>
        <v>Not Eligible</v>
      </c>
      <c r="H5">
        <f t="shared" si="1"/>
        <v>0.05</v>
      </c>
      <c r="I5">
        <f t="shared" si="2"/>
        <v>4.5</v>
      </c>
      <c r="J5" t="str">
        <f t="shared" si="3"/>
        <v>Need Improvement</v>
      </c>
      <c r="K5" t="str">
        <f t="shared" si="4"/>
        <v>Low</v>
      </c>
      <c r="L5" t="str">
        <f t="shared" si="5"/>
        <v>$ 300</v>
      </c>
      <c r="M5" t="str">
        <f t="shared" si="6"/>
        <v>No</v>
      </c>
    </row>
    <row r="6" spans="1:13">
      <c r="A6">
        <v>105</v>
      </c>
      <c r="B6" t="s">
        <v>21</v>
      </c>
      <c r="C6">
        <v>220</v>
      </c>
      <c r="D6">
        <v>210</v>
      </c>
      <c r="E6" t="s">
        <v>14</v>
      </c>
      <c r="F6" t="str">
        <f t="shared" si="7"/>
        <v>Yes</v>
      </c>
      <c r="G6" t="str">
        <f t="shared" si="0"/>
        <v>Eligible</v>
      </c>
      <c r="H6">
        <f t="shared" si="1"/>
        <v>0.1</v>
      </c>
      <c r="I6">
        <f t="shared" si="2"/>
        <v>22</v>
      </c>
      <c r="J6" t="str">
        <f t="shared" si="3"/>
        <v>Excellent</v>
      </c>
      <c r="K6" t="str">
        <f t="shared" si="4"/>
        <v>High</v>
      </c>
      <c r="L6" t="str">
        <f t="shared" si="5"/>
        <v>$ 500</v>
      </c>
      <c r="M6" t="str">
        <f t="shared" si="6"/>
        <v>Yes</v>
      </c>
    </row>
    <row r="7" spans="1:13">
      <c r="A7">
        <v>106</v>
      </c>
      <c r="B7" t="s">
        <v>22</v>
      </c>
      <c r="C7">
        <v>130</v>
      </c>
      <c r="D7">
        <v>160</v>
      </c>
      <c r="E7" t="s">
        <v>16</v>
      </c>
      <c r="F7" t="str">
        <f t="shared" si="7"/>
        <v>No</v>
      </c>
      <c r="G7" t="str">
        <f t="shared" si="0"/>
        <v>Not Eligible</v>
      </c>
      <c r="H7">
        <f t="shared" si="1"/>
        <v>0.05</v>
      </c>
      <c r="I7">
        <f t="shared" si="2"/>
        <v>6.5</v>
      </c>
      <c r="J7" t="str">
        <f t="shared" si="3"/>
        <v>Need Improvement</v>
      </c>
      <c r="K7" t="str">
        <f t="shared" si="4"/>
        <v>Medium</v>
      </c>
      <c r="L7" t="str">
        <f t="shared" si="5"/>
        <v>$ 300</v>
      </c>
      <c r="M7" t="str">
        <f t="shared" si="6"/>
        <v>No</v>
      </c>
    </row>
    <row r="10" spans="1:13">
      <c r="A10" t="s">
        <v>26</v>
      </c>
    </row>
    <row r="11" spans="1:13">
      <c r="A11" t="s">
        <v>23</v>
      </c>
    </row>
    <row r="12" spans="1:13">
      <c r="A12" t="s">
        <v>24</v>
      </c>
    </row>
    <row r="13" spans="1:13">
      <c r="A13" t="s">
        <v>25</v>
      </c>
    </row>
    <row r="14" spans="1:13" ht="16.95" customHeight="1">
      <c r="A14" s="3" t="s">
        <v>30</v>
      </c>
      <c r="B14" s="3"/>
      <c r="C14" s="3"/>
      <c r="D14" s="3"/>
      <c r="E14" s="3"/>
      <c r="F14" s="3"/>
      <c r="G14" s="3"/>
      <c r="H14" s="3"/>
      <c r="I14" s="3"/>
      <c r="J14" s="3"/>
    </row>
    <row r="15" spans="1:13" ht="16.5" customHeight="1">
      <c r="A15" s="2" t="s">
        <v>29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t="s">
        <v>27</v>
      </c>
    </row>
    <row r="17" spans="1:1">
      <c r="A17" t="s">
        <v>28</v>
      </c>
    </row>
  </sheetData>
  <mergeCells count="2">
    <mergeCell ref="A15:M15"/>
    <mergeCell ref="A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Diksha Ghadigaonkar</cp:lastModifiedBy>
  <dcterms:created xsi:type="dcterms:W3CDTF">2026-05-20T11:39:18Z</dcterms:created>
  <dcterms:modified xsi:type="dcterms:W3CDTF">2026-05-21T07:20:53Z</dcterms:modified>
</cp:coreProperties>
</file>